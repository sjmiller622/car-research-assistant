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 Resear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cols>
    <col min="1" max="1" width="32.83203125" customWidth="1"/>
    <col min="2" max="2" width="6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  <col min="7" max="7" width="16.83203125" customWidth="1"/>
    <col min="8" max="8" width="24.83203125" customWidth="1"/>
    <col min="9" max="9" width="20.83203125" customWidth="1"/>
    <col min="10" max="10" width="20.83203125" customWidth="1"/>
    <col min="11" max="11" width="14.83203125" customWidth="1"/>
    <col min="12" max="12" width="14.83203125" customWidth="1"/>
    <col min="13" max="13" width="14.83203125" customWidth="1"/>
    <col min="14" max="14" width="40.83203125" customWidth="1"/>
    <col min="15" max="15" width="28.83203125" customWidth="1"/>
    <col min="16" max="16" width="28.83203125" customWidth="1"/>
    <col min="17" max="17" width="28.83203125" customWidth="1"/>
    <col min="18" max="18" width="20.83203125" customWidth="1"/>
    <col min="19" max="19" width="14.83203125" customWidth="1"/>
    <col min="20" max="20" width="18.83203125" customWidth="1"/>
    <col min="21" max="21" width="14.83203125" customWidth="1"/>
  </cols>
  <sheetData>
    <row r="1">
      <c r="A1" t="str">
        <v>Title</v>
      </c>
      <c r="B1" t="str">
        <v>Year</v>
      </c>
      <c r="C1" t="str">
        <v>Make</v>
      </c>
      <c r="D1" t="str">
        <v>Model</v>
      </c>
      <c r="E1" t="str">
        <v>Price ($)</v>
      </c>
      <c r="F1" t="str">
        <v>Mileage</v>
      </c>
      <c r="G1" t="str">
        <v>Price Per Mile ($)</v>
      </c>
      <c r="H1" t="str">
        <v>Dealer</v>
      </c>
      <c r="I1" t="str">
        <v>Location</v>
      </c>
      <c r="J1" t="str">
        <v>VIN</v>
      </c>
      <c r="K1" t="str">
        <v>Title Status</v>
      </c>
      <c r="L1" t="str">
        <v>Salvage Dealer</v>
      </c>
      <c r="M1" t="str">
        <v>Source</v>
      </c>
      <c r="N1" t="str">
        <v>Listing URL</v>
      </c>
      <c r="O1" t="str">
        <v>NHTSA Issue #1</v>
      </c>
      <c r="P1" t="str">
        <v>NHTSA Issue #2</v>
      </c>
      <c r="Q1" t="str">
        <v>NHTSA Issue #3</v>
      </c>
      <c r="R1" t="str">
        <v>Total NHTSA Complaints</v>
      </c>
      <c r="S1" t="str">
        <v>Complaint Data</v>
      </c>
      <c r="T1" t="str">
        <v>Complaints Fetched Date</v>
      </c>
      <c r="U1" t="str">
        <v>Saved Date</v>
      </c>
    </row>
    <row r="2">
      <c r="A2" t="str">
        <v>2012 Honda Accord LX</v>
      </c>
      <c r="B2" t="str">
        <v>2012</v>
      </c>
      <c r="C2" t="str">
        <v>Honda</v>
      </c>
      <c r="D2" t="str">
        <v>Accord</v>
      </c>
      <c r="E2">
        <v>5995</v>
      </c>
      <c r="F2">
        <v>188951</v>
      </c>
      <c r="G2">
        <f>E2/F2</f>
      </c>
      <c r="H2" t="str">
        <v>Bob's Auto Ranch</v>
      </c>
      <c r="I2" t="str">
        <v>Mileage: 188,951 · Lino Lakes, MN (14 mi away)</v>
      </c>
      <c r="J2" t="str">
        <v>1HGCP2F31CA180708</v>
      </c>
      <c r="K2" t="str">
        <v>Clean</v>
      </c>
      <c r="L2" t="str">
        <v>No</v>
      </c>
      <c r="M2" t="str">
        <v>cargurus.com</v>
      </c>
      <c r="N2" t="str">
        <v>https://www.cargurus.com/details/436688044?resultSetId=fc70c9af-fa81-47ad-8a73-de0598a727fb&amp;searchUuid=2102e80e-6bab-45fd-8da1-63b30e6439d6&amp;sponsoredType=NONE&amp;srpVariation=DEFAULT_SEARCH&amp;listingIndex=2&amp;inclusionType=DEFAULT&amp;searchZip=55082&amp;searchDistance=50&amp;ourls=SRP&amp;srpc=N4IghgZgxiBcoFswGsCmBZA9gE1QGwBUAnASwQAUwAXACwGc4BtEBANgHpsBWADi5AA0LViAC6Q7CTpUwAOyio4XAAxC6mIlQAiJIqihUSmWXBABBAMoBhQSHWaCATwAOi2CABCAUQsEA+uhmBFYAErYAXiTOplwqPABMts6kClpEmM50APKyeI5wEGB4dKhCNCS4AHLURrIA7hWoFuXOziSyAOZwVEQArqUgssbNUc5gAEZ4qB5gJXjtbgCMi6xqMpoAmqhgRHDxyovxQqiy2Fs7ewdHdkTOAGo7JDXGplpeAGJmAKoAMv4WXjMACVQiAAL5CAwADzgoHm2DgABYAMysVg8HjKRGIoTOLqwRZqXq9CqmeKLZTxVCY1AAWlY4wmtMRXAg2FpPGwYEW9OR42RylQrBRAE5sCJcR0wKZUI4AFJIAAacvC2HeHhoAC14l8SFkAFYASUcPyscrqGwA6thCCRDax0Pq5SLwWCgA</v>
      </c>
      <c r="O2" t="str">
        <v>engine problems</v>
      </c>
      <c r="P2" t="str">
        <v>interior accessories problems</v>
      </c>
      <c r="Q2" t="str">
        <v>seat belts / air bags problems</v>
      </c>
      <c r="R2">
        <v>463</v>
      </c>
      <c r="S2" t="str">
        <v>Yes</v>
      </c>
      <c r="T2" t="str">
        <v>2/20/2026</v>
      </c>
      <c r="U2" t="str">
        <v>2/20/2026</v>
      </c>
    </row>
    <row r="3">
      <c r="A3" t="str">
        <v>Used 2012 Honda Accord EX-L</v>
      </c>
      <c r="B3" t="str">
        <v>2012</v>
      </c>
      <c r="C3" t="str">
        <v>Honda</v>
      </c>
      <c r="D3" t="str">
        <v>Accord</v>
      </c>
      <c r="E3">
        <v>6736</v>
      </c>
      <c r="F3">
        <v>164008</v>
      </c>
      <c r="G3">
        <f>E3/F3</f>
      </c>
      <c r="H3" t="str">
        <v>Unknown</v>
      </c>
      <c r="I3" t="str">
        <v>Unknown</v>
      </c>
      <c r="J3" t="str">
        <v>1HGCS2B82CA003374</v>
      </c>
      <c r="K3" t="str">
        <v>Clean</v>
      </c>
      <c r="L3" t="str">
        <v>No</v>
      </c>
      <c r="M3" t="str">
        <v>cars.com</v>
      </c>
      <c r="N3" t="str">
        <v>https://www.cars.com/vehicledetail/03d60775-298d-47e2-99c0-7690768c0804/</v>
      </c>
      <c r="O3" t="str">
        <v>engine problems</v>
      </c>
      <c r="P3" t="str">
        <v>interior accessories problems</v>
      </c>
      <c r="Q3" t="str">
        <v>seat belts / air bags problems</v>
      </c>
      <c r="R3">
        <v>463</v>
      </c>
      <c r="S3" t="str">
        <v>Yes</v>
      </c>
      <c r="T3" t="str">
        <v>2/20/2026</v>
      </c>
      <c r="U3" t="str">
        <v>2/20/2026</v>
      </c>
    </row>
    <row r="4">
      <c r="A4" t="str">
        <v>2012 Honda Accord EX-L</v>
      </c>
      <c r="B4" t="str">
        <v>2012</v>
      </c>
      <c r="C4" t="str">
        <v>Honda</v>
      </c>
      <c r="D4" t="str">
        <v>Accord</v>
      </c>
      <c r="E4">
        <v>6991</v>
      </c>
      <c r="F4">
        <v>186146</v>
      </c>
      <c r="G4">
        <f>E4/F4</f>
      </c>
      <c r="H4" t="str">
        <v>Fairway Auto Sales</v>
      </c>
      <c r="I4" t="str">
        <v>Mileage: 186,146 · Price includes $996 delivery to Stillwater, MN</v>
      </c>
      <c r="J4" t="str">
        <v>1HGCP2F86CA065520</v>
      </c>
      <c r="K4" t="str">
        <v>Clean</v>
      </c>
      <c r="L4" t="str">
        <v>No</v>
      </c>
      <c r="M4" t="str">
        <v>cargurus.com</v>
      </c>
      <c r="N4" t="str">
        <v>https://www.cargurus.com/details/439024277?resultSetId=0a7eb9c9-b151-4f92-bd06-63303cd5557e&amp;searchUuid=2102e80e-6bab-45fd-8da1-63b30e6439d6&amp;sponsoredType=NONE&amp;srpVariation=DEFAULT_SEARCH&amp;listingIndex=3&amp;inclusionType=NATIONWIDE_SHIPPING&amp;searchZip=55082&amp;searchDistance=50&amp;ourls=SRP&amp;srpc=N4IghgZgxiBcoFswGsCmBZA9gE1QGwBUAnASwQAUwAXACwGc4BtEBANgHpsBWADi5AA0LViAC6Q7CTpUwAOyio4XAAxC6mIlQAiJIqihUSmWXBABBAMoBhQSHWaCATwAOi2CABCAUQsEA+uhmBFYAErYAXiTOplwqPABMts6kClpEmM50APKyeI5wEGB4dKhCNCS4AHLURrIA7hWoFuXOziSyAOZwVEQArqUgssbNUc5gAEZ4qB5gJXjtbgCMi6xqMpoAmqhgRHDxyovxQqiy2Fs7ewdHdkTOAGo7JDXGplpeAGJmAKoAMv4WXjMACVQiAAL5CAwADzgoHm2DgABYAMwATmU8UR8QA7NihM4urBFmper0KqZ4osMageMpUABaVjjCb0xFcCDYek8bBgRaM5HjZF01go1HYET4jpgUyoRwAKSQAA05eFsO8PDQAFrxL4kLIAKwAko4flY5XUNgB1bCEEiG1jofVy1HgsFAA</v>
      </c>
      <c r="O4" t="str">
        <v>engine problems</v>
      </c>
      <c r="P4" t="str">
        <v>interior accessories problems</v>
      </c>
      <c r="Q4" t="str">
        <v>seat belts / air bags problems</v>
      </c>
      <c r="R4">
        <v>463</v>
      </c>
      <c r="S4" t="str">
        <v>Yes</v>
      </c>
      <c r="T4" t="str">
        <v>2/20/2026</v>
      </c>
      <c r="U4" t="str">
        <v>2/20/2026</v>
      </c>
    </row>
    <row r="5">
      <c r="A5" t="str">
        <v>2012 Honda Accord SE</v>
      </c>
      <c r="B5" t="str">
        <v>2012</v>
      </c>
      <c r="C5" t="str">
        <v>Honda</v>
      </c>
      <c r="D5" t="str">
        <v>Accord</v>
      </c>
      <c r="E5">
        <v>7219</v>
      </c>
      <c r="F5">
        <v>160276</v>
      </c>
      <c r="G5">
        <f>E5/F5</f>
      </c>
      <c r="H5" t="str">
        <v>A.W. Auto Truck Wholesale</v>
      </c>
      <c r="I5" t="str">
        <v>Mileage: 160,276 · Price includes $1,000 delivery to Stillwater, MN</v>
      </c>
      <c r="J5" t="str">
        <v>1HGCP2F65CA005839</v>
      </c>
      <c r="K5" t="str">
        <v>Clean</v>
      </c>
      <c r="L5" t="str">
        <v>No</v>
      </c>
      <c r="M5" t="str">
        <v>cargurus.com</v>
      </c>
      <c r="N5" t="str">
        <v>https://www.cargurus.com/details/431350568?resultSetId=0f4d37d1-6762-474e-a42e-6fe4e3ed2c9d&amp;searchUuid=2102e80e-6bab-45fd-8da1-63b30e6439d6&amp;sponsoredType=NONE&amp;srpVariation=DEFAULT_SEARCH&amp;listingIndex=7&amp;inclusionType=NATIONWIDE_SHIPPING&amp;searchZip=55082&amp;searchDistance=50&amp;ourls=SRP&amp;srpc=N4IghgZgxiBcoFswGsCmBZA9gE1QGwBUAnASwQAUwAXACwGc4BtEBANgHpsBWADi5AA0LViAC6Q7CTpUwAOyio4XAAxC6mIlQAiJIqihUSmWXBABBAMoBhQSHWaCATwAOi2CABCAUQsEA+uhmBFYAErYAXiTOplwqPABMts6kClpEmM50APKyeI5wEGB4dKhCNCS4AHLURrIA7hWoFuXOziSyAOZwVEQArqUgssbNUc5gAEZ4qB5gJXjtbgCMi6xqMpoAmqhgRHDxyovxQqiy2Fs7ewdHdkTOAGo7JDXGplpeAGJmAKoAMv4WXjMACVQiAAL5CAwADzgoHm2DgABYAMyLZEqLisHhCZxdWCLNS9XoVUzxRbKeKoHjKVAAWlY4wmtMRXAg2FpPGwYEW9OR42RNNYKIAnNgRDiOmBTKhHAApJAADVl4Ww7w8NAAWvEviQsgArACSjh+VlldQ2AHVsIQSAbWOg9bLheCwUA</v>
      </c>
      <c r="O5" t="str">
        <v>engine problems</v>
      </c>
      <c r="P5" t="str">
        <v>interior accessories problems</v>
      </c>
      <c r="Q5" t="str">
        <v>seat belts / air bags problems</v>
      </c>
      <c r="R5">
        <v>463</v>
      </c>
      <c r="S5" t="str">
        <v>Yes</v>
      </c>
      <c r="T5" t="str">
        <v>2/20/2026</v>
      </c>
      <c r="U5" t="str">
        <v>2/20/2026</v>
      </c>
    </row>
    <row r="6">
      <c r="A6" t="str">
        <v>2012 Honda Accord SE</v>
      </c>
      <c r="B6" t="str">
        <v>2012</v>
      </c>
      <c r="C6" t="str">
        <v>Honda</v>
      </c>
      <c r="D6" t="str">
        <v>Accord</v>
      </c>
      <c r="E6">
        <v>8134</v>
      </c>
      <c r="F6">
        <v>169683</v>
      </c>
      <c r="G6">
        <f>E6/F6</f>
      </c>
      <c r="H6" t="str">
        <v>Seattle Finest Motors</v>
      </c>
      <c r="I6" t="str">
        <v>Mileage: 169,683 · Price includes $984 delivery to Stillwater, MN</v>
      </c>
      <c r="J6" t="str">
        <v>1HGCP2F61CA198703</v>
      </c>
      <c r="K6" t="str">
        <v>Clean</v>
      </c>
      <c r="L6" t="str">
        <v>No</v>
      </c>
      <c r="M6" t="str">
        <v>cargurus.com</v>
      </c>
      <c r="N6" t="str">
        <v>https://www.cargurus.com/details/437697884?resultSetId=48420e49-a7b6-4df0-bf5a-af0c4c95569d&amp;searchUuid=2102e80e-6bab-45fd-8da1-63b30e6439d6&amp;sponsoredType=NONE&amp;srpVariation=DEFAULT_SEARCH&amp;listingIndex=4&amp;inclusionType=NATIONWIDE_SHIPPING&amp;searchZip=55082&amp;searchDistance=50&amp;ourls=SRP&amp;srpc=N4IghgZgxiBcoFswGsCmBZA9gE1QGwBUAnASwQAUwAXACwGc4BtEBANgHpsBWADi5AA0LViAC6Q7CTpUwAOyio4XAAxC6mIlQAiJIqihUSmWXBABBAMoBhQSHWaCATwAOi2CABCAUQsEA+uhmBFYAErYAXiTOplwqPABMts6kClpEmM50APKyeI5wEGB4dKhCNCS4AHLURrIA7hWoFuXOziSyAOZwVEQArqUgssbNUc5gAEZ4qB5gJXjtbgCMi6xqMpoAmqhgRHDxyovxQqiy2Fs7ewdHdkTOAGo7JDXGplpeAGJmAKoAMv4WXjMACVQiAAL5CAwADzgoHm2DgABYAMwAdlYAE5UTweIihM4urBFmper0KqZ4otlPFUDxlKgALSscYTBmIrgQbAMnjYMCLJnI8bI+msFEY7AifEdMCmVCOABSSAAGvLwth3h4aAAteJfEhZABWAElHD8rPK6hsAOrYQgkI2sdAG+UY8FgoA</v>
      </c>
      <c r="O6" t="str">
        <v>engine problems</v>
      </c>
      <c r="P6" t="str">
        <v>interior accessories problems</v>
      </c>
      <c r="Q6" t="str">
        <v>seat belts / air bags problems</v>
      </c>
      <c r="R6">
        <v>463</v>
      </c>
      <c r="S6" t="str">
        <v>Yes</v>
      </c>
      <c r="T6" t="str">
        <v>2/20/2026</v>
      </c>
      <c r="U6" t="str">
        <v>2/20/2026</v>
      </c>
    </row>
    <row r="7">
      <c r="A7" t="str">
        <v>2012 Honda Accord EX</v>
      </c>
      <c r="B7" t="str">
        <v>2012</v>
      </c>
      <c r="C7" t="str">
        <v>Honda</v>
      </c>
      <c r="D7" t="str">
        <v>Accord</v>
      </c>
      <c r="E7">
        <v>8490</v>
      </c>
      <c r="F7">
        <v>142000</v>
      </c>
      <c r="G7">
        <f>E7/F7</f>
      </c>
      <c r="H7" t="str">
        <v>Vera Auto SalesOpen</v>
      </c>
      <c r="I7" t="str">
        <v>Mileage: 142,000 · Saint Paul, MN (9 mi away)</v>
      </c>
      <c r="J7" t="str">
        <v>1HGCP2F79CA127676</v>
      </c>
      <c r="K7" t="str">
        <v>Clean</v>
      </c>
      <c r="L7" t="str">
        <v>No</v>
      </c>
      <c r="M7" t="str">
        <v>cargurus.com</v>
      </c>
      <c r="N7" t="str">
        <v>https://www.cargurus.com/details/437451755?resultSetId=1286fb49-e473-436c-aafb-8acddd1231c1&amp;searchUuid=2102e80e-6bab-45fd-8da1-63b30e6439d6&amp;sponsoredType=NONE&amp;srpVariation=DEFAULT_SEARCH&amp;listingIndex=0&amp;inclusionType=DEFAULT&amp;searchZip=55082&amp;searchDistance=50&amp;ourls=SRP&amp;srpc=N4IghgZgxiBcoFswGsCmBZA9gE1QGwBUAnASwQAUwAXACwGc4BtEBANgHpsBWADi5AA0LViAC6Q7CTpUwAOyio4XAAxC6mIlQAiJIqihUSmWXBABBAMoBhQSHWaCATwAOi2CABCAUQsEA+uhmBFYAErYAXiTOplwqPABMts6kClpEmM50APKyeI5wEGB4dKhCNCS4AHLURrIA7hWoFuXOziSyAOZwVEQArqUgssbNUc5gAEZ4qB5gJXjtbgCMi6xqMpoAmqhgRHDxyovxQqiy2Fs7ewdHdkTOAGo7JDXGplpeAGJmAKoAMv4WXjMACVQiAAL5CAwADzgoHm2DgABYAMwAdkRXEWqNiQmcXVgizUvV6FVM8UWyniqB4ylQAFpWOMJnSMRBsHSeNgwIsGcjxsjaawUQBObAiXEdMCmVCOABSSAAGrLwth3h4aAAteJfEhZABWAElHD8rLK6hsAOrYQgkA2sdB62XC8FgoA</v>
      </c>
      <c r="O7" t="str">
        <v>engine problems</v>
      </c>
      <c r="P7" t="str">
        <v>interior accessories problems</v>
      </c>
      <c r="Q7" t="str">
        <v>seat belts / air bags problems</v>
      </c>
      <c r="R7">
        <v>463</v>
      </c>
      <c r="S7" t="str">
        <v>Yes</v>
      </c>
      <c r="T7" t="str">
        <v>2/20/2026</v>
      </c>
      <c r="U7" t="str">
        <v>2/20/2026</v>
      </c>
    </row>
    <row r="8">
      <c r="A8" t="str">
        <v>Used 2012 Honda Accord 2.4 LX</v>
      </c>
      <c r="B8" t="str">
        <v>2012</v>
      </c>
      <c r="C8" t="str">
        <v>Honda</v>
      </c>
      <c r="D8" t="str">
        <v>Accord</v>
      </c>
      <c r="E8">
        <v>9700</v>
      </c>
      <c r="F8">
        <v>126760</v>
      </c>
      <c r="G8">
        <f>E8/F8</f>
      </c>
      <c r="H8" t="str">
        <v>Unknown</v>
      </c>
      <c r="I8" t="str">
        <v>Unknown</v>
      </c>
      <c r="J8" t="str">
        <v>1HGCP2E3XCA047172</v>
      </c>
      <c r="K8" t="str">
        <v>Clean</v>
      </c>
      <c r="L8" t="str">
        <v>No</v>
      </c>
      <c r="M8" t="str">
        <v>cars.com</v>
      </c>
      <c r="N8" t="str">
        <v>https://www.cars.com/vehicledetail/f85d26e5-2073-49aa-ae06-5a74ba1d9397/</v>
      </c>
      <c r="O8" t="str">
        <v>engine problems</v>
      </c>
      <c r="P8" t="str">
        <v>interior accessories problems</v>
      </c>
      <c r="Q8" t="str">
        <v>seat belts / air bags problems</v>
      </c>
      <c r="R8">
        <v>463</v>
      </c>
      <c r="S8" t="str">
        <v>Yes</v>
      </c>
      <c r="T8" t="str">
        <v>2/20/2026</v>
      </c>
      <c r="U8" t="str">
        <v>2/20/2026</v>
      </c>
    </row>
    <row r="9">
      <c r="A9" t="str">
        <v>Used 2012 Honda Accord EX-L</v>
      </c>
      <c r="B9" t="str">
        <v>2012</v>
      </c>
      <c r="C9" t="str">
        <v>Honda</v>
      </c>
      <c r="D9" t="str">
        <v>Accord</v>
      </c>
      <c r="E9">
        <v>9995</v>
      </c>
      <c r="F9">
        <v>165498</v>
      </c>
      <c r="G9">
        <f>E9/F9</f>
      </c>
      <c r="H9" t="str">
        <v>Unknown</v>
      </c>
      <c r="I9" t="str">
        <v>Unknown</v>
      </c>
      <c r="J9" t="str">
        <v>1HGCP2F88CA123188</v>
      </c>
      <c r="K9" t="str">
        <v>Clean</v>
      </c>
      <c r="L9" t="str">
        <v>No</v>
      </c>
      <c r="M9" t="str">
        <v>cars.com</v>
      </c>
      <c r="N9" t="str">
        <v>https://www.cars.com/vehicledetail/8b6c74d5-4477-4e0f-aa12-ac89383bc40d/</v>
      </c>
      <c r="O9" t="str">
        <v>engine problems</v>
      </c>
      <c r="P9" t="str">
        <v>interior accessories problems</v>
      </c>
      <c r="Q9" t="str">
        <v>seat belts / air bags problems</v>
      </c>
      <c r="R9">
        <v>463</v>
      </c>
      <c r="S9" t="str">
        <v>Yes</v>
      </c>
      <c r="T9" t="str">
        <v>2/20/2026</v>
      </c>
      <c r="U9" t="str">
        <v>2/20/2026</v>
      </c>
    </row>
    <row r="10">
      <c r="A10" t="str">
        <v>Used 2012 Honda Accord EX</v>
      </c>
      <c r="B10" t="str">
        <v>2012</v>
      </c>
      <c r="C10" t="str">
        <v>Honda</v>
      </c>
      <c r="D10" t="str">
        <v>Accord</v>
      </c>
      <c r="E10">
        <v>11500</v>
      </c>
      <c r="F10">
        <v>79853</v>
      </c>
      <c r="G10">
        <f>E10/F10</f>
      </c>
      <c r="H10" t="str">
        <v>Unknown</v>
      </c>
      <c r="I10" t="str">
        <v>Unknown</v>
      </c>
      <c r="J10" t="str">
        <v>1HGCP2F79CA132991</v>
      </c>
      <c r="K10" t="str">
        <v>Clean</v>
      </c>
      <c r="L10" t="str">
        <v>No</v>
      </c>
      <c r="M10" t="str">
        <v>cars.com</v>
      </c>
      <c r="N10" t="str">
        <v>https://www.cars.com/vehicledetail/3606d757-823e-4df5-8fc6-c93ec3913ad0/</v>
      </c>
      <c r="O10" t="str">
        <v>engine problems</v>
      </c>
      <c r="P10" t="str">
        <v>interior accessories problems</v>
      </c>
      <c r="Q10" t="str">
        <v>seat belts / air bags problems</v>
      </c>
      <c r="R10">
        <v>463</v>
      </c>
      <c r="S10" t="str">
        <v>Yes</v>
      </c>
      <c r="T10" t="str">
        <v>2/20/2026</v>
      </c>
      <c r="U10" t="str">
        <v>2/20/2026</v>
      </c>
    </row>
    <row r="11">
      <c r="A11" t="str">
        <v>2012 Honda Accord LX-P</v>
      </c>
      <c r="B11" t="str">
        <v>2012</v>
      </c>
      <c r="C11" t="str">
        <v>Honda</v>
      </c>
      <c r="D11" t="str">
        <v>Accord</v>
      </c>
      <c r="E11">
        <v>11595</v>
      </c>
      <c r="F11">
        <v>72661</v>
      </c>
      <c r="G11">
        <f>E11/F11</f>
      </c>
      <c r="H11" t="str">
        <v>Dealer reviewsNo reviews yet.</v>
      </c>
      <c r="I11" t="str">
        <v>Mileage: 72,661 · Andover, MN (28 mi away)</v>
      </c>
      <c r="J11" t="str">
        <v>1HGCP2F4XCA173829</v>
      </c>
      <c r="K11" t="str">
        <v>Clean</v>
      </c>
      <c r="L11" t="str">
        <v>No</v>
      </c>
      <c r="M11" t="str">
        <v>cargurus.com</v>
      </c>
      <c r="N11" t="str">
        <v>https://www.cargurus.com/details/426379469?resultSetId=5320581e-8e36-4e8f-a23e-cdc1a1ab5987&amp;searchUuid=2102e80e-6bab-45fd-8da1-63b30e6439d6&amp;sponsoredType=NONE&amp;srpVariation=DEFAULT_SEARCH&amp;listingIndex=1&amp;inclusionType=DEFAULT&amp;searchZip=55082&amp;searchDistance=50&amp;ourls=SRP&amp;srpc=N4IghgZgxiBcoFswGsCmBZA9gE1QGwBUAnASwQAUwAXACwGc4BtEBANgHpsBWADi5AA0LViAC6Q7CTpUwAOyio4XAAxC6mIlQAiJIqihUSmWXBABBAMoBhQSHWaCATwAOi2CABCAUQsEA+uhmBFYAErYAXiTOplwqPABMts6kClpEmM50APKyeI5wEGB4dKhCNCS4AHLURrIA7hWoFuXOziSyAOZwVEQArqUgssbNUc5gAEZ4qB5gJXjtbgCMi6xqMpoAmqhgRHDxyovxQqiy2Fs7ewdHdkTOAGo7JDXGplpeAGJmAKoAMv4WXjMACVQiAAL5CAwADzgoHm2DgABZ4qwAMwAdgAnIjWJihM4urBFmper0KqZ4otlPFUDxlKgALSscYTBmIrgQbAMnjYMCLJmo8ao+msRGozHYET4jpgUyoRwAKSQAA0FeFsO8PDQAFrxL4kLIAKwAko4flYFXUNgB1bCEEjG1joQ0KzHgsFAA</v>
      </c>
      <c r="O11" t="str">
        <v>engine problems</v>
      </c>
      <c r="P11" t="str">
        <v>interior accessories problems</v>
      </c>
      <c r="Q11" t="str">
        <v>seat belts / air bags problems</v>
      </c>
      <c r="R11">
        <v>463</v>
      </c>
      <c r="S11" t="str">
        <v>Yes</v>
      </c>
      <c r="T11" t="str">
        <v>2/20/2026</v>
      </c>
      <c r="U11" t="str">
        <v>2/20/2026</v>
      </c>
    </row>
    <row r="12">
      <c r="A12" t="str">
        <v>2012 Honda Accord EX</v>
      </c>
      <c r="B12" t="str">
        <v>2012</v>
      </c>
      <c r="C12" t="str">
        <v>Honda</v>
      </c>
      <c r="D12" t="str">
        <v>Accord</v>
      </c>
      <c r="E12">
        <v>11826</v>
      </c>
      <c r="F12">
        <v>80388</v>
      </c>
      <c r="G12">
        <f>E12/F12</f>
      </c>
      <c r="H12" t="str">
        <v>EZ Auto Sales</v>
      </c>
      <c r="I12" t="str">
        <v>Mileage: 80,388 · Price includes $1,836 delivery to Stillwater, MN</v>
      </c>
      <c r="J12" t="str">
        <v>1HGCP2F70CA080442</v>
      </c>
      <c r="K12" t="str">
        <v>Clean</v>
      </c>
      <c r="L12" t="str">
        <v>No</v>
      </c>
      <c r="M12" t="str">
        <v>cargurus.com</v>
      </c>
      <c r="N12" t="str">
        <v>https://www.cargurus.com/details/423060633?resultSetId=3425ade4-3813-4bf2-a1c9-0ecbe28376d1&amp;searchUuid=2102e80e-6bab-45fd-8da1-63b30e6439d6&amp;sponsoredType=NONE&amp;srpVariation=DEFAULT_SEARCH&amp;listingIndex=8&amp;inclusionType=NATIONWIDE_SHIPPING&amp;searchZip=55082&amp;searchDistance=50&amp;ourls=SRP&amp;srpc=N4IghgZgxiBcoFswGsCmBZA9gE1QGwBUAnASwQAUwAXACwGc4BtEBANgHpsBWADi5AA0LViAC6Q7CTpUwAOyio4XAAxC6mIlQAiJIqihUSmWXBABBAMoBhQSHWaCATwAOi2CABCAUQsEA+uhmBFYAErYAXiTOplwqPABMts6kClpEmM50APKyeI5wEGB4dKhCNCS4AHLURrIA7hWoFuXOziSyAOZwVEQArqUgssbNUc5gAEZ4qB5gJXjtbgCMi6xqMpoAmqhgRHDxyovxQqiy2Fs7ewdHdkTOAGo7JDXGplpeAGJmAKoAMv4WXjMACVQiAAL5CAwADzgoHm2DgABZ4gBmZSsdEolFCZxdWCLNS9XoVUzxRbKeKoHjKVAAWlY4wmtMRXAg2FpPGwYEW9JR4zRqFYiJRAE5sCIcR0wKZUI4AFJIAAacvC2HeHhoAC14l8SFkAFYASUcPyscrqGwA6thCCRDax0Pq5SLwWCgA</v>
      </c>
      <c r="O12" t="str">
        <v>engine problems</v>
      </c>
      <c r="P12" t="str">
        <v>interior accessories problems</v>
      </c>
      <c r="Q12" t="str">
        <v>seat belts / air bags problems</v>
      </c>
      <c r="R12">
        <v>463</v>
      </c>
      <c r="S12" t="str">
        <v>Yes</v>
      </c>
      <c r="T12" t="str">
        <v>2/20/2026</v>
      </c>
      <c r="U12" t="str">
        <v>2/20/2026</v>
      </c>
    </row>
    <row r="13">
      <c r="A13" t="str">
        <v>Used 2012 Honda Accord EX-L</v>
      </c>
      <c r="B13" t="str">
        <v>2012</v>
      </c>
      <c r="C13" t="str">
        <v>Honda</v>
      </c>
      <c r="D13" t="str">
        <v>Accord</v>
      </c>
      <c r="E13">
        <v>14499</v>
      </c>
      <c r="F13">
        <v>116213</v>
      </c>
      <c r="G13">
        <f>E13/F13</f>
      </c>
      <c r="H13" t="str">
        <v>Unknown</v>
      </c>
      <c r="I13" t="str">
        <v>Unknown</v>
      </c>
      <c r="J13" t="str">
        <v>1HGCP3F89CA005270</v>
      </c>
      <c r="K13" t="str">
        <v>Clean</v>
      </c>
      <c r="L13" t="str">
        <v>No</v>
      </c>
      <c r="M13" t="str">
        <v>cars.com</v>
      </c>
      <c r="N13" t="str">
        <v>https://www.cars.com/vehicledetail/04843955-426b-4920-834d-f2548e61b06e/</v>
      </c>
      <c r="O13" t="str">
        <v>engine problems</v>
      </c>
      <c r="P13" t="str">
        <v>interior accessories problems</v>
      </c>
      <c r="Q13" t="str">
        <v>seat belts / air bags problems</v>
      </c>
      <c r="R13">
        <v>463</v>
      </c>
      <c r="S13" t="str">
        <v>Yes</v>
      </c>
      <c r="T13" t="str">
        <v>2/20/2026</v>
      </c>
      <c r="U13" t="str">
        <v>2/20/2026</v>
      </c>
    </row>
    <row r="14">
      <c r="A14" t="str">
        <v>Used 2012 Honda Accord LX</v>
      </c>
      <c r="B14" t="str">
        <v>2012</v>
      </c>
      <c r="C14" t="str">
        <v>Honda</v>
      </c>
      <c r="D14" t="str">
        <v>Accord</v>
      </c>
      <c r="E14">
        <v>14500</v>
      </c>
      <c r="F14">
        <v>39355</v>
      </c>
      <c r="G14">
        <f>E14/F14</f>
      </c>
      <c r="H14" t="str">
        <v>Unknown</v>
      </c>
      <c r="I14" t="str">
        <v>Unknown</v>
      </c>
      <c r="J14" t="str">
        <v>1HGCP2F34CA218920</v>
      </c>
      <c r="K14" t="str">
        <v>Clean</v>
      </c>
      <c r="L14" t="str">
        <v>No</v>
      </c>
      <c r="M14" t="str">
        <v>autotrader.com</v>
      </c>
      <c r="N14" t="str">
        <v>https://www.autotrader.com/cars-for-sale/vehicle/771710601</v>
      </c>
      <c r="O14" t="str">
        <v>engine problems</v>
      </c>
      <c r="P14" t="str">
        <v>interior accessories problems</v>
      </c>
      <c r="Q14" t="str">
        <v>seat belts / air bags problems</v>
      </c>
      <c r="R14">
        <v>463</v>
      </c>
      <c r="S14" t="str">
        <v>Yes</v>
      </c>
      <c r="T14" t="str">
        <v>2/20/2026</v>
      </c>
      <c r="U14" t="str">
        <v>2/20/2026</v>
      </c>
    </row>
  </sheetData>
  <ignoredErrors>
    <ignoredError numberStoredAsText="1" sqref="A1:U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Research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